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530" activeTab="1"/>
  </bookViews>
  <sheets>
    <sheet name="Instructions" sheetId="1" r:id="rId1"/>
    <sheet name="Dataset" sheetId="2" r:id="rId2"/>
  </sheet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10" i="2" l="1"/>
  <c r="N9" i="2"/>
  <c r="N8" i="2"/>
  <c r="N7" i="2"/>
  <c r="N6" i="2"/>
  <c r="N5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2" i="2"/>
  <c r="N4" i="2" l="1"/>
</calcChain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<sst xmlns="http://schemas.openxmlformats.org/spreadsheetml/2006/main" count="171" uniqueCount="122">
  <si>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</si>
  <si>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</si>
  <si>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</si>
  <si>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</si>
  <si>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</si>
  <si>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</si>
  <si>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</si>
  <si>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</si>
  <si>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</si>
  <si>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</si>
  <si>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</si>
  <si>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</si>
  <si>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</si>
  <si>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</si>
  <si>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</si>
  <si>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</si>
  <si>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</si>
  <si>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</si>
  <si>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</si>
  <si>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</si>
  <si>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</si>
  <si>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</si>
  <si>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</si>
  <si>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</si>
  <si>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</si>
  <si>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</si>
  <si>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</si>
  <si>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</si>
  <si>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</si>
  <si>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</si>
  <si>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</si>
  <si>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</si>
  <si>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</si>
  <si>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</si>
  <si>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</si>
  <si>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</si>
  <si>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</si>
  <si>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</si>
  <si>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</si>
  <si>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</si>
  <si>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</si>
  <si>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</si>
  <si>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</si>
  <si>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</si>
  <si>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</si>
  <si>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</si>
  <si>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</si>
  <si>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</si>
  <si>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</si>
  <si>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</si>
  <si>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</si>
  <si>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</si>
  <si>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</si>
  <si>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</si>
  <si>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</si>
  <si>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</si>
  <si>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</si>
  <si>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</si>
  <si>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</si>
  <si>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</si>
  <si>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</si>
  <si>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</si>
  <si>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</si>
  <si>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</si>
  <si>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</si>
  <si>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</si>
  <si>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</si>
  <si>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</si>
  <si>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</si>
  <si>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</si>
  <si>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</si>
  <si>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</si>
  <si>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</si>
  <si>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</si>
  <si>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</si>
  <si>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</si>
  <si>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</si>
  <si>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</si>
  <si>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</si>
  <si>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</si>
  <si>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</si>
  <si>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</si>
  <si>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</si>
  <si>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</si>
  <si>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</si>
  <si>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</si>
  <si>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</si>
  <si>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</si>
  <si>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</si>
  <si>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</si>
  <si>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</si>
  <si>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</si>
  <si>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</si>
  <si>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</si>
  <si>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</si>
  <si>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</si>
  <si>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</si>
  <si>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</si>
  <si>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</si>
  <si>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</si>
  <si>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</si>
  <si>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</si>
  <si>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</si>
  <si>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</si>
  <si>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</si>
  <si>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</si>
  <si>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</si>
  <si>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</si>
  <si>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</si>
  <si>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</si>
  <si>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</si>
  <si>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</si>
  <si>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Month</t>
  </si>
  <si>
    <t>Country Code</t>
  </si>
  <si>
    <t>Total Price</t>
  </si>
  <si>
    <t>Total price of all products</t>
  </si>
  <si>
    <t>Number of products in the data set</t>
  </si>
  <si>
    <t>Average price of products</t>
  </si>
  <si>
    <t>Minimum price among all products</t>
  </si>
  <si>
    <t>Maximum price among all products</t>
  </si>
  <si>
    <t>Total price of products in the electronics category</t>
  </si>
  <si>
    <r>
      <t xml:space="preserve">Count of products with a price less than </t>
    </r>
    <r>
      <rPr>
        <sz val="10"/>
        <color rgb="FF000000"/>
        <rFont val="Arial"/>
        <family val="2"/>
      </rPr>
      <t>$</t>
    </r>
    <r>
      <rPr>
        <sz val="10"/>
        <color rgb="FF000000"/>
        <rFont val="Arial"/>
        <scheme val="minor"/>
      </rPr>
      <t>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</si>
</sst>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topLeftCell="A5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tabSelected="1" topLeftCell="D1" workbookViewId="0">
      <selection activeCell="N10" sqref="N10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7" width="12.5703125" customWidth="1"/>
    <col min="8" max="8" width="15.140625" customWidth="1"/>
    <col min="9" max="10" width="12.5703125" customWidth="1"/>
    <col min="11" max="11" width="14" customWidth="1"/>
    <col min="13" max="13" width="42.28515625" customWidth="1"/>
  </cols>
  <sheetData>
    <row r="1" spans="1:14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114</v>
      </c>
      <c r="G1" s="5" t="s">
        <v>22</v>
      </c>
      <c r="H1" s="5" t="s">
        <v>110</v>
      </c>
      <c r="I1" s="5" t="s">
        <v>111</v>
      </c>
      <c r="J1" s="5" t="s">
        <v>112</v>
      </c>
      <c r="K1" s="5" t="s">
        <v>113</v>
      </c>
      <c r="L1" s="6"/>
    </row>
    <row r="2" spans="1:14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8">
        <f>D2*E2</f>
        <v>30000</v>
      </c>
      <c r="G2" s="7" t="s">
        <v>26</v>
      </c>
      <c r="H2" s="8" t="str">
        <f>IF(D2&gt;=500,"High Price","Standard Price")</f>
        <v>High Price</v>
      </c>
      <c r="I2" s="8" t="str">
        <f>LEFT(A2,2)</f>
        <v>28</v>
      </c>
      <c r="J2" s="8" t="str">
        <f>MID(A2,4,3)</f>
        <v>JAN</v>
      </c>
      <c r="K2" s="8" t="str">
        <f>RIGHT(A2,2)</f>
        <v>US</v>
      </c>
      <c r="L2" s="8"/>
    </row>
    <row r="3" spans="1:14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8">
        <f t="shared" ref="F3:F35" si="0">D3*E3</f>
        <v>1200</v>
      </c>
      <c r="G3" s="9" t="s">
        <v>30</v>
      </c>
      <c r="H3" s="8" t="str">
        <f t="shared" ref="H3:H35" si="1">IF(D3&gt;=500,"High Price","Standard Price")</f>
        <v>Standard Price</v>
      </c>
      <c r="I3" s="8" t="str">
        <f t="shared" ref="I3:I35" si="2">LEFT(A3,2)</f>
        <v>15</v>
      </c>
      <c r="J3" s="8" t="str">
        <f t="shared" ref="J3:J35" si="3">MID(A3,4,3)</f>
        <v>FEB</v>
      </c>
      <c r="K3" s="8" t="str">
        <f t="shared" ref="K3:K35" si="4">RIGHT(A3,2)</f>
        <v>US</v>
      </c>
      <c r="L3" s="8"/>
    </row>
    <row r="4" spans="1:14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8">
        <f t="shared" si="0"/>
        <v>5200</v>
      </c>
      <c r="G4" s="7" t="s">
        <v>34</v>
      </c>
      <c r="H4" s="8" t="str">
        <f t="shared" si="1"/>
        <v>Standard Price</v>
      </c>
      <c r="I4" s="8" t="str">
        <f t="shared" si="2"/>
        <v>03</v>
      </c>
      <c r="J4" s="8" t="str">
        <f t="shared" si="3"/>
        <v>MAR</v>
      </c>
      <c r="K4" s="8" t="str">
        <f t="shared" si="4"/>
        <v>US</v>
      </c>
      <c r="L4" s="8"/>
      <c r="M4" t="s">
        <v>115</v>
      </c>
      <c r="N4">
        <f>SUM(F2:F35)</f>
        <v>289700</v>
      </c>
    </row>
    <row r="5" spans="1:14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8">
        <f t="shared" si="0"/>
        <v>22500</v>
      </c>
      <c r="G5" s="9" t="s">
        <v>26</v>
      </c>
      <c r="H5" s="8" t="str">
        <f t="shared" si="1"/>
        <v>High Price</v>
      </c>
      <c r="I5" s="8" t="str">
        <f t="shared" si="2"/>
        <v>11</v>
      </c>
      <c r="J5" s="8" t="str">
        <f t="shared" si="3"/>
        <v>APR</v>
      </c>
      <c r="K5" s="8" t="str">
        <f t="shared" si="4"/>
        <v>US</v>
      </c>
      <c r="L5" s="8"/>
      <c r="M5" t="s">
        <v>116</v>
      </c>
      <c r="N5">
        <f>COUNT(D:D)</f>
        <v>34</v>
      </c>
    </row>
    <row r="6" spans="1:14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8">
        <f t="shared" si="0"/>
        <v>1400</v>
      </c>
      <c r="G6" s="7" t="s">
        <v>41</v>
      </c>
      <c r="H6" s="8" t="str">
        <f t="shared" si="1"/>
        <v>Standard Price</v>
      </c>
      <c r="I6" s="8" t="str">
        <f t="shared" si="2"/>
        <v>22</v>
      </c>
      <c r="J6" s="8" t="str">
        <f t="shared" si="3"/>
        <v>MAY</v>
      </c>
      <c r="K6" s="8" t="str">
        <f t="shared" si="4"/>
        <v>US</v>
      </c>
      <c r="L6" s="8"/>
      <c r="M6" t="s">
        <v>117</v>
      </c>
      <c r="N6">
        <f>AVERAGE(D2:D35)</f>
        <v>297.05882352941177</v>
      </c>
    </row>
    <row r="7" spans="1:14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8">
        <f t="shared" si="0"/>
        <v>9000</v>
      </c>
      <c r="G7" s="9" t="s">
        <v>26</v>
      </c>
      <c r="H7" s="8" t="str">
        <f t="shared" si="1"/>
        <v>Standard Price</v>
      </c>
      <c r="I7" s="8" t="str">
        <f t="shared" si="2"/>
        <v>07</v>
      </c>
      <c r="J7" s="8" t="str">
        <f t="shared" si="3"/>
        <v>JUN</v>
      </c>
      <c r="K7" s="8" t="str">
        <f t="shared" si="4"/>
        <v>UK</v>
      </c>
      <c r="L7" s="8"/>
      <c r="M7" t="s">
        <v>118</v>
      </c>
      <c r="N7">
        <f>MIN(D:D)</f>
        <v>30</v>
      </c>
    </row>
    <row r="8" spans="1:14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8">
        <f t="shared" si="0"/>
        <v>150</v>
      </c>
      <c r="G8" s="7" t="s">
        <v>30</v>
      </c>
      <c r="H8" s="8" t="str">
        <f t="shared" si="1"/>
        <v>Standard Price</v>
      </c>
      <c r="I8" s="8" t="str">
        <f t="shared" si="2"/>
        <v>19</v>
      </c>
      <c r="J8" s="8" t="str">
        <f t="shared" si="3"/>
        <v>JUL</v>
      </c>
      <c r="K8" s="8" t="str">
        <f t="shared" si="4"/>
        <v>UK</v>
      </c>
      <c r="L8" s="8"/>
      <c r="M8" t="s">
        <v>119</v>
      </c>
      <c r="N8">
        <f>MAX(D:D)</f>
        <v>1000</v>
      </c>
    </row>
    <row r="9" spans="1:14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8">
        <f t="shared" si="0"/>
        <v>3150</v>
      </c>
      <c r="G9" s="9" t="s">
        <v>34</v>
      </c>
      <c r="H9" s="8" t="str">
        <f t="shared" si="1"/>
        <v>Standard Price</v>
      </c>
      <c r="I9" s="8" t="str">
        <f t="shared" si="2"/>
        <v>23</v>
      </c>
      <c r="J9" s="8" t="str">
        <f t="shared" si="3"/>
        <v>AUG</v>
      </c>
      <c r="K9" s="8" t="str">
        <f t="shared" si="4"/>
        <v>UK</v>
      </c>
      <c r="L9" s="8"/>
      <c r="M9" t="s">
        <v>120</v>
      </c>
      <c r="N9">
        <f>SUMIF(G:G,"Electronics",F:F)</f>
        <v>234200</v>
      </c>
    </row>
    <row r="10" spans="1:14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8">
        <f t="shared" si="0"/>
        <v>25000</v>
      </c>
      <c r="G10" s="7" t="s">
        <v>26</v>
      </c>
      <c r="H10" s="8" t="str">
        <f t="shared" si="1"/>
        <v>High Price</v>
      </c>
      <c r="I10" s="8" t="str">
        <f t="shared" si="2"/>
        <v>05</v>
      </c>
      <c r="J10" s="8" t="str">
        <f t="shared" si="3"/>
        <v>SEP</v>
      </c>
      <c r="K10" s="8" t="str">
        <f t="shared" si="4"/>
        <v>UK</v>
      </c>
      <c r="L10" s="8"/>
      <c r="M10" s="11" t="s">
        <v>121</v>
      </c>
      <c r="N10">
        <f>COUNTIF(D:D,"&lt;100")</f>
        <v>11</v>
      </c>
    </row>
    <row r="11" spans="1:14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8">
        <f t="shared" si="0"/>
        <v>1300</v>
      </c>
      <c r="G11" s="9" t="s">
        <v>41</v>
      </c>
      <c r="H11" s="8" t="str">
        <f t="shared" si="1"/>
        <v>Standard Price</v>
      </c>
      <c r="I11" s="8" t="str">
        <f t="shared" si="2"/>
        <v>14</v>
      </c>
      <c r="J11" s="8" t="str">
        <f t="shared" si="3"/>
        <v>OCT</v>
      </c>
      <c r="K11" s="8" t="str">
        <f t="shared" si="4"/>
        <v>UK</v>
      </c>
      <c r="L11" s="8"/>
    </row>
    <row r="12" spans="1:14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8">
        <f t="shared" si="0"/>
        <v>23750</v>
      </c>
      <c r="G12" s="7" t="s">
        <v>26</v>
      </c>
      <c r="H12" s="8" t="str">
        <f t="shared" si="1"/>
        <v>High Price</v>
      </c>
      <c r="I12" s="8" t="str">
        <f t="shared" si="2"/>
        <v>17</v>
      </c>
      <c r="J12" s="8" t="str">
        <f t="shared" si="3"/>
        <v>JUN</v>
      </c>
      <c r="K12" s="8" t="str">
        <f t="shared" si="4"/>
        <v>IN</v>
      </c>
      <c r="L12" s="8"/>
    </row>
    <row r="13" spans="1:14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8">
        <f t="shared" si="0"/>
        <v>3600</v>
      </c>
      <c r="G13" s="9" t="s">
        <v>30</v>
      </c>
      <c r="H13" s="8" t="str">
        <f t="shared" si="1"/>
        <v>Standard Price</v>
      </c>
      <c r="I13" s="8" t="str">
        <f t="shared" si="2"/>
        <v>25</v>
      </c>
      <c r="J13" s="8" t="str">
        <f t="shared" si="3"/>
        <v>NOV</v>
      </c>
      <c r="K13" s="8" t="str">
        <f t="shared" si="4"/>
        <v>AU</v>
      </c>
      <c r="L13" s="8"/>
    </row>
    <row r="14" spans="1:14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8">
        <f t="shared" si="0"/>
        <v>4200</v>
      </c>
      <c r="G14" s="7" t="s">
        <v>34</v>
      </c>
      <c r="H14" s="8" t="str">
        <f t="shared" si="1"/>
        <v>Standard Price</v>
      </c>
      <c r="I14" s="8" t="str">
        <f t="shared" si="2"/>
        <v>08</v>
      </c>
      <c r="J14" s="8" t="str">
        <f t="shared" si="3"/>
        <v>DEC</v>
      </c>
      <c r="K14" s="8" t="str">
        <f t="shared" si="4"/>
        <v>DE</v>
      </c>
      <c r="L14" s="8"/>
    </row>
    <row r="15" spans="1:14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8">
        <f t="shared" si="0"/>
        <v>2250</v>
      </c>
      <c r="G15" s="9" t="s">
        <v>26</v>
      </c>
      <c r="H15" s="8" t="str">
        <f t="shared" si="1"/>
        <v>Standard Price</v>
      </c>
      <c r="I15" s="8" t="str">
        <f t="shared" si="2"/>
        <v>18</v>
      </c>
      <c r="J15" s="8" t="str">
        <f t="shared" si="3"/>
        <v>FEB</v>
      </c>
      <c r="K15" s="8" t="str">
        <f t="shared" si="4"/>
        <v>CA</v>
      </c>
      <c r="L15" s="8"/>
    </row>
    <row r="16" spans="1:14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8">
        <f t="shared" si="0"/>
        <v>5000</v>
      </c>
      <c r="G16" s="7" t="s">
        <v>26</v>
      </c>
      <c r="H16" s="8" t="str">
        <f t="shared" si="1"/>
        <v>Standard Price</v>
      </c>
      <c r="I16" s="8" t="str">
        <f t="shared" si="2"/>
        <v>16</v>
      </c>
      <c r="J16" s="8" t="str">
        <f t="shared" si="3"/>
        <v>APR</v>
      </c>
      <c r="K16" s="8" t="str">
        <f t="shared" si="4"/>
        <v>ES</v>
      </c>
      <c r="L16" s="8"/>
    </row>
    <row r="17" spans="1:12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8">
        <f t="shared" si="0"/>
        <v>1750</v>
      </c>
      <c r="G17" s="9" t="s">
        <v>70</v>
      </c>
      <c r="H17" s="8" t="str">
        <f t="shared" si="1"/>
        <v>Standard Price</v>
      </c>
      <c r="I17" s="8" t="str">
        <f t="shared" si="2"/>
        <v>21</v>
      </c>
      <c r="J17" s="8" t="str">
        <f t="shared" si="3"/>
        <v>AUG</v>
      </c>
      <c r="K17" s="8" t="str">
        <f t="shared" si="4"/>
        <v>CA</v>
      </c>
      <c r="L17" s="8"/>
    </row>
    <row r="18" spans="1:12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8">
        <f t="shared" si="0"/>
        <v>2400</v>
      </c>
      <c r="G18" s="7" t="s">
        <v>26</v>
      </c>
      <c r="H18" s="8" t="str">
        <f t="shared" si="1"/>
        <v>Standard Price</v>
      </c>
      <c r="I18" s="8" t="str">
        <f t="shared" si="2"/>
        <v>20</v>
      </c>
      <c r="J18" s="8" t="str">
        <f t="shared" si="3"/>
        <v>AUG</v>
      </c>
      <c r="K18" s="8" t="str">
        <f t="shared" si="4"/>
        <v>CN</v>
      </c>
      <c r="L18" s="8"/>
    </row>
    <row r="19" spans="1:12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8">
        <f t="shared" si="0"/>
        <v>9800</v>
      </c>
      <c r="G19" s="9" t="s">
        <v>26</v>
      </c>
      <c r="H19" s="8" t="str">
        <f t="shared" si="1"/>
        <v>High Price</v>
      </c>
      <c r="I19" s="8" t="str">
        <f t="shared" si="2"/>
        <v>27</v>
      </c>
      <c r="J19" s="8" t="str">
        <f t="shared" si="3"/>
        <v>JAN</v>
      </c>
      <c r="K19" s="8" t="str">
        <f t="shared" si="4"/>
        <v>IT</v>
      </c>
      <c r="L19" s="8"/>
    </row>
    <row r="20" spans="1:12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8">
        <f t="shared" si="0"/>
        <v>2250</v>
      </c>
      <c r="G20" s="7" t="s">
        <v>30</v>
      </c>
      <c r="H20" s="8" t="str">
        <f t="shared" si="1"/>
        <v>Standard Price</v>
      </c>
      <c r="I20" s="8" t="str">
        <f t="shared" si="2"/>
        <v>01</v>
      </c>
      <c r="J20" s="8" t="str">
        <f t="shared" si="3"/>
        <v>MAR</v>
      </c>
      <c r="K20" s="8" t="str">
        <f t="shared" si="4"/>
        <v>UK</v>
      </c>
      <c r="L20" s="8"/>
    </row>
    <row r="21" spans="1:12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8">
        <f t="shared" si="0"/>
        <v>2000</v>
      </c>
      <c r="G21" s="9" t="s">
        <v>41</v>
      </c>
      <c r="H21" s="8" t="str">
        <f t="shared" si="1"/>
        <v>Standard Price</v>
      </c>
      <c r="I21" s="8" t="str">
        <f t="shared" si="2"/>
        <v>14</v>
      </c>
      <c r="J21" s="8" t="str">
        <f t="shared" si="3"/>
        <v>AUG</v>
      </c>
      <c r="K21" s="8" t="str">
        <f t="shared" si="4"/>
        <v>US</v>
      </c>
      <c r="L21" s="8"/>
    </row>
    <row r="22" spans="1:12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8">
        <f t="shared" si="0"/>
        <v>35000</v>
      </c>
      <c r="G22" s="7" t="s">
        <v>26</v>
      </c>
      <c r="H22" s="8" t="str">
        <f t="shared" si="1"/>
        <v>High Price</v>
      </c>
      <c r="I22" s="8" t="str">
        <f t="shared" si="2"/>
        <v>14</v>
      </c>
      <c r="J22" s="8" t="str">
        <f t="shared" si="3"/>
        <v>MAY</v>
      </c>
      <c r="K22" s="8" t="str">
        <f t="shared" si="4"/>
        <v>RU</v>
      </c>
      <c r="L22" s="8"/>
    </row>
    <row r="23" spans="1:12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8">
        <f t="shared" si="0"/>
        <v>1600</v>
      </c>
      <c r="G23" s="9" t="s">
        <v>34</v>
      </c>
      <c r="H23" s="8" t="str">
        <f t="shared" si="1"/>
        <v>Standard Price</v>
      </c>
      <c r="I23" s="8" t="str">
        <f t="shared" si="2"/>
        <v>09</v>
      </c>
      <c r="J23" s="8" t="str">
        <f t="shared" si="3"/>
        <v>JAN</v>
      </c>
      <c r="K23" s="8" t="str">
        <f t="shared" si="4"/>
        <v>CA</v>
      </c>
      <c r="L23" s="8"/>
    </row>
    <row r="24" spans="1:12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8">
        <f t="shared" si="0"/>
        <v>4500</v>
      </c>
      <c r="G24" s="7" t="s">
        <v>26</v>
      </c>
      <c r="H24" s="8" t="str">
        <f t="shared" si="1"/>
        <v>Standard Price</v>
      </c>
      <c r="I24" s="8" t="str">
        <f t="shared" si="2"/>
        <v>19</v>
      </c>
      <c r="J24" s="8" t="str">
        <f t="shared" si="3"/>
        <v>JUL</v>
      </c>
      <c r="K24" s="8" t="str">
        <f t="shared" si="4"/>
        <v>BR</v>
      </c>
      <c r="L24" s="8"/>
    </row>
    <row r="25" spans="1:12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8">
        <f t="shared" si="0"/>
        <v>1750</v>
      </c>
      <c r="G25" s="9" t="s">
        <v>70</v>
      </c>
      <c r="H25" s="8" t="str">
        <f t="shared" si="1"/>
        <v>Standard Price</v>
      </c>
      <c r="I25" s="8" t="str">
        <f t="shared" si="2"/>
        <v>21</v>
      </c>
      <c r="J25" s="8" t="str">
        <f t="shared" si="3"/>
        <v>AUG</v>
      </c>
      <c r="K25" s="8" t="str">
        <f t="shared" si="4"/>
        <v>CA</v>
      </c>
      <c r="L25" s="10"/>
    </row>
    <row r="26" spans="1:12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8">
        <f t="shared" si="0"/>
        <v>36000</v>
      </c>
      <c r="G26" s="7" t="s">
        <v>26</v>
      </c>
      <c r="H26" s="8" t="str">
        <f t="shared" si="1"/>
        <v>High Price</v>
      </c>
      <c r="I26" s="8" t="str">
        <f t="shared" si="2"/>
        <v>29</v>
      </c>
      <c r="J26" s="8" t="str">
        <f t="shared" si="3"/>
        <v>SEP</v>
      </c>
      <c r="K26" s="8" t="str">
        <f t="shared" si="4"/>
        <v>CA</v>
      </c>
      <c r="L26" s="8"/>
    </row>
    <row r="27" spans="1:12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8">
        <f t="shared" si="0"/>
        <v>3250</v>
      </c>
      <c r="G27" s="9" t="s">
        <v>30</v>
      </c>
      <c r="H27" s="8" t="str">
        <f t="shared" si="1"/>
        <v>Standard Price</v>
      </c>
      <c r="I27" s="8" t="str">
        <f t="shared" si="2"/>
        <v>03</v>
      </c>
      <c r="J27" s="8" t="str">
        <f t="shared" si="3"/>
        <v>JUN</v>
      </c>
      <c r="K27" s="8" t="str">
        <f t="shared" si="4"/>
        <v>CA</v>
      </c>
      <c r="L27" s="8"/>
    </row>
    <row r="28" spans="1:12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8">
        <f t="shared" si="0"/>
        <v>16000</v>
      </c>
      <c r="G28" s="7" t="s">
        <v>34</v>
      </c>
      <c r="H28" s="8" t="str">
        <f t="shared" si="1"/>
        <v>Standard Price</v>
      </c>
      <c r="I28" s="8" t="str">
        <f t="shared" si="2"/>
        <v>11</v>
      </c>
      <c r="J28" s="8" t="str">
        <f t="shared" si="3"/>
        <v>JUL</v>
      </c>
      <c r="K28" s="8" t="str">
        <f t="shared" si="4"/>
        <v>CA</v>
      </c>
      <c r="L28" s="8"/>
    </row>
    <row r="29" spans="1:12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8">
        <f t="shared" si="0"/>
        <v>4600</v>
      </c>
      <c r="G29" s="9" t="s">
        <v>26</v>
      </c>
      <c r="H29" s="8" t="str">
        <f t="shared" si="1"/>
        <v>Standard Price</v>
      </c>
      <c r="I29" s="8" t="str">
        <f t="shared" si="2"/>
        <v>16</v>
      </c>
      <c r="J29" s="8" t="str">
        <f t="shared" si="3"/>
        <v>APR</v>
      </c>
      <c r="K29" s="8" t="str">
        <f t="shared" si="4"/>
        <v>ES</v>
      </c>
      <c r="L29" s="10"/>
    </row>
    <row r="30" spans="1:12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8">
        <f t="shared" si="0"/>
        <v>1800</v>
      </c>
      <c r="G30" s="7" t="s">
        <v>30</v>
      </c>
      <c r="H30" s="8" t="str">
        <f t="shared" si="1"/>
        <v>Standard Price</v>
      </c>
      <c r="I30" s="8" t="str">
        <f t="shared" si="2"/>
        <v>07</v>
      </c>
      <c r="J30" s="8" t="str">
        <f t="shared" si="3"/>
        <v>MAR</v>
      </c>
      <c r="K30" s="8" t="str">
        <f t="shared" si="4"/>
        <v>CA</v>
      </c>
      <c r="L30" s="8"/>
    </row>
    <row r="31" spans="1:12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8">
        <f t="shared" si="0"/>
        <v>400</v>
      </c>
      <c r="G31" s="9" t="s">
        <v>34</v>
      </c>
      <c r="H31" s="8" t="str">
        <f t="shared" si="1"/>
        <v>Standard Price</v>
      </c>
      <c r="I31" s="8" t="str">
        <f t="shared" si="2"/>
        <v>13</v>
      </c>
      <c r="J31" s="8" t="str">
        <f t="shared" si="3"/>
        <v>APR</v>
      </c>
      <c r="K31" s="8" t="str">
        <f t="shared" si="4"/>
        <v>CA</v>
      </c>
      <c r="L31" s="8"/>
    </row>
    <row r="32" spans="1:12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8">
        <f t="shared" si="0"/>
        <v>650</v>
      </c>
      <c r="G32" s="7" t="s">
        <v>26</v>
      </c>
      <c r="H32" s="8" t="str">
        <f t="shared" si="1"/>
        <v>Standard Price</v>
      </c>
      <c r="I32" s="8" t="str">
        <f t="shared" si="2"/>
        <v>24</v>
      </c>
      <c r="J32" s="8" t="str">
        <f t="shared" si="3"/>
        <v>MAY</v>
      </c>
      <c r="K32" s="8" t="str">
        <f t="shared" si="4"/>
        <v>CA</v>
      </c>
      <c r="L32" s="8"/>
    </row>
    <row r="33" spans="1:12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8">
        <f t="shared" si="0"/>
        <v>2500</v>
      </c>
      <c r="G33" s="9" t="s">
        <v>30</v>
      </c>
      <c r="H33" s="8" t="str">
        <f t="shared" si="1"/>
        <v>Standard Price</v>
      </c>
      <c r="I33" s="8" t="str">
        <f t="shared" si="2"/>
        <v>02</v>
      </c>
      <c r="J33" s="8" t="str">
        <f t="shared" si="3"/>
        <v>DEC</v>
      </c>
      <c r="K33" s="8" t="str">
        <f t="shared" si="4"/>
        <v>CA</v>
      </c>
      <c r="L33" s="8"/>
    </row>
    <row r="34" spans="1:12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8">
        <f t="shared" si="0"/>
        <v>23750</v>
      </c>
      <c r="G34" s="7" t="s">
        <v>26</v>
      </c>
      <c r="H34" s="8" t="str">
        <f t="shared" si="1"/>
        <v>High Price</v>
      </c>
      <c r="I34" s="8" t="str">
        <f t="shared" si="2"/>
        <v>17</v>
      </c>
      <c r="J34" s="8" t="str">
        <f t="shared" si="3"/>
        <v>JUN</v>
      </c>
      <c r="K34" s="8" t="str">
        <f t="shared" si="4"/>
        <v>IN</v>
      </c>
      <c r="L34" s="8"/>
    </row>
    <row r="35" spans="1:12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8">
        <f t="shared" si="0"/>
        <v>2000</v>
      </c>
      <c r="G35" s="9" t="s">
        <v>70</v>
      </c>
      <c r="H35" s="8" t="str">
        <f t="shared" si="1"/>
        <v>Standard Price</v>
      </c>
      <c r="I35" s="8" t="str">
        <f t="shared" si="2"/>
        <v>09</v>
      </c>
      <c r="J35" s="8" t="str">
        <f t="shared" si="3"/>
        <v>JUL</v>
      </c>
      <c r="K35" s="8" t="str">
        <f t="shared" si="4"/>
        <v>FR</v>
      </c>
      <c r="L35" s="8"/>
    </row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2026-08-15T14:31:21Z</dcterms:modified>
</cp:coreProperties>
</file>